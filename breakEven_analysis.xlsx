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15" i="1"/>
  <c r="C16"/>
  <c r="C17"/>
  <c r="C14"/>
  <c r="B15"/>
  <c r="B16"/>
  <c r="D16" s="1"/>
  <c r="B17"/>
  <c r="B14"/>
  <c r="D14" s="1"/>
  <c r="B7"/>
  <c r="B8" s="1"/>
  <c r="B9" s="1"/>
  <c r="D15" l="1"/>
  <c r="D17"/>
</calcChain>
</file>

<file path=xl/sharedStrings.xml><?xml version="1.0" encoding="utf-8"?>
<sst xmlns="http://schemas.openxmlformats.org/spreadsheetml/2006/main" count="17" uniqueCount="15">
  <si>
    <t>break-even analysis tool</t>
  </si>
  <si>
    <t>fixed cost</t>
  </si>
  <si>
    <t>variable cost per unit</t>
  </si>
  <si>
    <t>selling price per unit</t>
  </si>
  <si>
    <t>contribution per unit</t>
  </si>
  <si>
    <t>break-even units</t>
  </si>
  <si>
    <t>break-even sales</t>
  </si>
  <si>
    <t>profit table</t>
  </si>
  <si>
    <t>units sold</t>
  </si>
  <si>
    <t>revenue</t>
  </si>
  <si>
    <t>total cost</t>
  </si>
  <si>
    <t>profit</t>
  </si>
  <si>
    <t>Column1</t>
  </si>
  <si>
    <t>Column2</t>
  </si>
  <si>
    <t>Column3</t>
  </si>
</sst>
</file>

<file path=xl/styles.xml><?xml version="1.0" encoding="utf-8"?>
<styleSheet xmlns="http://schemas.openxmlformats.org/spreadsheetml/2006/main">
  <numFmts count="1">
    <numFmt numFmtId="44" formatCode="_ &quot;₹&quot;\ * #,##0.00_ ;_ &quot;₹&quot;\ * \-#,##0.00_ ;_ &quot;₹&quot;\ * &quot;-&quot;??_ ;_ @_ "/>
  </numFmts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6"/>
      <color theme="0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/>
    <xf numFmtId="44" fontId="0" fillId="0" borderId="0" xfId="0" applyNumberForma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Sheet1!$A$13</c:f>
              <c:strCache>
                <c:ptCount val="1"/>
                <c:pt idx="0">
                  <c:v>units sold</c:v>
                </c:pt>
              </c:strCache>
            </c:strRef>
          </c:tx>
          <c:val>
            <c:numRef>
              <c:f>Sheet1!$A$14:$A$17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</c:numCache>
            </c:numRef>
          </c:val>
        </c:ser>
        <c:ser>
          <c:idx val="1"/>
          <c:order val="1"/>
          <c:tx>
            <c:strRef>
              <c:f>Sheet1!$B$13</c:f>
              <c:strCache>
                <c:ptCount val="1"/>
                <c:pt idx="0">
                  <c:v>revenue</c:v>
                </c:pt>
              </c:strCache>
            </c:strRef>
          </c:tx>
          <c:val>
            <c:numRef>
              <c:f>Sheet1!$B$14:$B$17</c:f>
              <c:numCache>
                <c:formatCode>General</c:formatCode>
                <c:ptCount val="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</c:numCache>
            </c:numRef>
          </c:val>
        </c:ser>
        <c:ser>
          <c:idx val="2"/>
          <c:order val="2"/>
          <c:tx>
            <c:strRef>
              <c:f>Sheet1!$C$13</c:f>
              <c:strCache>
                <c:ptCount val="1"/>
                <c:pt idx="0">
                  <c:v>total cost</c:v>
                </c:pt>
              </c:strCache>
            </c:strRef>
          </c:tx>
          <c:val>
            <c:numRef>
              <c:f>Sheet1!$C$14:$C$17</c:f>
              <c:numCache>
                <c:formatCode>General</c:formatCode>
                <c:ptCount val="4"/>
                <c:pt idx="0">
                  <c:v>70000</c:v>
                </c:pt>
                <c:pt idx="1">
                  <c:v>90000</c:v>
                </c:pt>
                <c:pt idx="2">
                  <c:v>110000</c:v>
                </c:pt>
                <c:pt idx="3">
                  <c:v>130000</c:v>
                </c:pt>
              </c:numCache>
            </c:numRef>
          </c:val>
        </c:ser>
        <c:marker val="1"/>
        <c:axId val="106373120"/>
        <c:axId val="106400768"/>
      </c:lineChart>
      <c:catAx>
        <c:axId val="106373120"/>
        <c:scaling>
          <c:orientation val="minMax"/>
        </c:scaling>
        <c:axPos val="b"/>
        <c:tickLblPos val="nextTo"/>
        <c:crossAx val="106400768"/>
        <c:crosses val="autoZero"/>
        <c:auto val="1"/>
        <c:lblAlgn val="ctr"/>
        <c:lblOffset val="100"/>
      </c:catAx>
      <c:valAx>
        <c:axId val="106400768"/>
        <c:scaling>
          <c:orientation val="minMax"/>
        </c:scaling>
        <c:axPos val="l"/>
        <c:majorGridlines/>
        <c:numFmt formatCode="General" sourceLinked="1"/>
        <c:tickLblPos val="nextTo"/>
        <c:crossAx val="1063731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2</xdr:row>
      <xdr:rowOff>0</xdr:rowOff>
    </xdr:from>
    <xdr:to>
      <xdr:col>15</xdr:col>
      <xdr:colOff>447675</xdr:colOff>
      <xdr:row>12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2:D17" totalsRowShown="0">
  <autoFilter ref="A12:D17"/>
  <tableColumns count="4">
    <tableColumn id="1" name="profit table" dataDxfId="0"/>
    <tableColumn id="2" name="Column1">
      <calculatedColumnFormula>A14*$B$6</calculatedColumnFormula>
    </tableColumn>
    <tableColumn id="3" name="Column2">
      <calculatedColumnFormula>$B$4 + (A14*$B$5)</calculatedColumnFormula>
    </tableColumn>
    <tableColumn id="4" name="Column3">
      <calculatedColumnFormula>B14-C14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10" totalsRowShown="0">
  <autoFilter ref="A1:B10"/>
  <tableColumns count="2">
    <tableColumn id="1" name="Column1" dataDxfId="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I24" sqref="I24"/>
    </sheetView>
  </sheetViews>
  <sheetFormatPr defaultRowHeight="15"/>
  <cols>
    <col min="1" max="1" width="26.42578125" style="1" customWidth="1"/>
    <col min="2" max="2" width="16.42578125" customWidth="1"/>
    <col min="3" max="3" width="13.85546875" customWidth="1"/>
    <col min="4" max="4" width="12.28515625" customWidth="1"/>
  </cols>
  <sheetData>
    <row r="1" spans="1:4">
      <c r="A1" s="2" t="s">
        <v>12</v>
      </c>
      <c r="B1" t="s">
        <v>13</v>
      </c>
    </row>
    <row r="2" spans="1:4" ht="26.25" customHeight="1">
      <c r="A2" s="5" t="s">
        <v>0</v>
      </c>
      <c r="B2" s="4"/>
    </row>
    <row r="3" spans="1:4" ht="13.5" customHeight="1">
      <c r="B3" s="1"/>
    </row>
    <row r="4" spans="1:4" ht="27" customHeight="1">
      <c r="A4" s="1" t="s">
        <v>1</v>
      </c>
      <c r="B4" s="9">
        <v>50000</v>
      </c>
      <c r="C4" s="8"/>
    </row>
    <row r="5" spans="1:4" ht="28.5" customHeight="1">
      <c r="A5" s="1" t="s">
        <v>2</v>
      </c>
      <c r="B5" s="8">
        <v>20</v>
      </c>
      <c r="C5" s="8"/>
    </row>
    <row r="6" spans="1:4" ht="27" customHeight="1">
      <c r="A6" s="1" t="s">
        <v>3</v>
      </c>
      <c r="B6" s="8">
        <v>50</v>
      </c>
      <c r="C6" s="8"/>
    </row>
    <row r="7" spans="1:4" ht="24" customHeight="1">
      <c r="A7" s="1" t="s">
        <v>4</v>
      </c>
      <c r="B7" s="8">
        <f>B6-B5</f>
        <v>30</v>
      </c>
      <c r="C7" s="8"/>
    </row>
    <row r="8" spans="1:4" ht="23.25" customHeight="1">
      <c r="A8" s="1" t="s">
        <v>5</v>
      </c>
      <c r="B8" s="8">
        <f>B4/B7</f>
        <v>1666.6666666666667</v>
      </c>
      <c r="C8" s="8"/>
    </row>
    <row r="9" spans="1:4" ht="21.75" customHeight="1">
      <c r="A9" s="1" t="s">
        <v>6</v>
      </c>
      <c r="B9" s="8">
        <f>B8*B6</f>
        <v>83333.333333333343</v>
      </c>
      <c r="C9" s="8"/>
    </row>
    <row r="10" spans="1:4" ht="18" customHeight="1">
      <c r="B10" s="8"/>
      <c r="C10" s="8"/>
    </row>
    <row r="11" spans="1:4" ht="23.25" customHeight="1"/>
    <row r="12" spans="1:4" ht="26.25">
      <c r="A12" s="6" t="s">
        <v>7</v>
      </c>
      <c r="B12" s="3" t="s">
        <v>12</v>
      </c>
      <c r="C12" t="s">
        <v>13</v>
      </c>
      <c r="D12" t="s">
        <v>14</v>
      </c>
    </row>
    <row r="13" spans="1:4" ht="22.5" customHeight="1">
      <c r="A13" s="1" t="s">
        <v>8</v>
      </c>
      <c r="B13" t="s">
        <v>9</v>
      </c>
      <c r="C13" t="s">
        <v>10</v>
      </c>
      <c r="D13" t="s">
        <v>11</v>
      </c>
    </row>
    <row r="14" spans="1:4" ht="20.25" customHeight="1">
      <c r="A14" s="7">
        <v>1000</v>
      </c>
      <c r="B14" s="8">
        <f>A14*$B$6</f>
        <v>50000</v>
      </c>
      <c r="C14" s="8">
        <f>$B$4 + (A14*$B$5)</f>
        <v>70000</v>
      </c>
      <c r="D14" s="8">
        <f>B14-C14</f>
        <v>-20000</v>
      </c>
    </row>
    <row r="15" spans="1:4" ht="21.75" customHeight="1">
      <c r="A15" s="7">
        <v>2000</v>
      </c>
      <c r="B15" s="8">
        <f>A15*$B$6</f>
        <v>100000</v>
      </c>
      <c r="C15" s="8">
        <f>$B$4 + (A15*$B$5)</f>
        <v>90000</v>
      </c>
      <c r="D15" s="8">
        <f t="shared" ref="D15:D17" si="0">B15-C15</f>
        <v>10000</v>
      </c>
    </row>
    <row r="16" spans="1:4" ht="22.5" customHeight="1">
      <c r="A16" s="7">
        <v>3000</v>
      </c>
      <c r="B16" s="8">
        <f>A16*$B$6</f>
        <v>150000</v>
      </c>
      <c r="C16" s="8">
        <f>$B$4 + (A16*$B$5)</f>
        <v>110000</v>
      </c>
      <c r="D16" s="8">
        <f t="shared" si="0"/>
        <v>40000</v>
      </c>
    </row>
    <row r="17" spans="1:5" ht="24" customHeight="1">
      <c r="A17" s="7">
        <v>4000</v>
      </c>
      <c r="B17" s="8">
        <f>A17*$B$6</f>
        <v>200000</v>
      </c>
      <c r="C17" s="8">
        <f>$B$4 + (A17*$B$5)</f>
        <v>130000</v>
      </c>
      <c r="D17" s="8">
        <f t="shared" si="0"/>
        <v>70000</v>
      </c>
    </row>
    <row r="18" spans="1:5">
      <c r="C18" s="8"/>
      <c r="D18" s="8"/>
      <c r="E18" s="8"/>
    </row>
    <row r="19" spans="1:5">
      <c r="D19" s="8"/>
      <c r="E19" s="8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Sadguru</dc:creator>
  <cp:lastModifiedBy>Sadguru</cp:lastModifiedBy>
  <dcterms:created xsi:type="dcterms:W3CDTF">2026-03-25T05:23:17Z</dcterms:created>
  <dcterms:modified xsi:type="dcterms:W3CDTF">2026-03-25T06:44:54Z</dcterms:modified>
</cp:coreProperties>
</file>